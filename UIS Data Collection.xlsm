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ew\Desktop\"/>
    </mc:Choice>
  </mc:AlternateContent>
  <xr:revisionPtr revIDLastSave="0" documentId="13_ncr:1_{1A3AED3A-5BD9-4DA6-992A-DE9A5F26F6C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H4" i="1"/>
  <c r="H3" i="1"/>
  <c r="H2" i="1"/>
  <c r="B2" i="1"/>
  <c r="H8" i="1"/>
</calcChain>
</file>

<file path=xl/sharedStrings.xml><?xml version="1.0" encoding="utf-8"?>
<sst xmlns="http://schemas.openxmlformats.org/spreadsheetml/2006/main" count="12" uniqueCount="12">
  <si>
    <t>Номер контракта:</t>
  </si>
  <si>
    <t>Общие данные</t>
  </si>
  <si>
    <t>Документация</t>
  </si>
  <si>
    <t>Объект закупки:</t>
  </si>
  <si>
    <t>Начальная цена:</t>
  </si>
  <si>
    <t>Минимальное предложение:</t>
  </si>
  <si>
    <t xml:space="preserve">Участник(и), с которыми планируется заключить контракт </t>
  </si>
  <si>
    <t xml:space="preserve"> Порядковый номер, полученный по результатам рассмотрения заявки </t>
  </si>
  <si>
    <t xml:space="preserve"> Предложение участника, ₽</t>
  </si>
  <si>
    <t>Поставка лекарственного препарата для медицинского применения (МНН: ЭТАНОЛ) в 2023-2024 годах</t>
  </si>
  <si>
    <t>60 318,50 ₽</t>
  </si>
  <si>
    <t>Предложений 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</si>
</sst>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u/>
      <sz val="20"/>
      <color theme="10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b/>
      <sz val="22"/>
      <color rgb="FF000000"/>
      <name val="Times New Roman"/>
      <family val="1"/>
      <charset val="204"/>
    </font>
    <font>
      <u/>
      <sz val="16"/>
      <color theme="10"/>
      <name val="Calibri"/>
      <family val="2"/>
      <scheme val="minor"/>
    </font>
    <font>
      <u/>
      <sz val="16"/>
      <color theme="1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Fill="1"/>
    <xf numFmtId="0" fontId="5" fillId="0" borderId="33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 wrapText="1"/>
    </xf>
    <xf numFmtId="0" fontId="4" fillId="0" borderId="25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4" fontId="4" fillId="0" borderId="21" xfId="0" applyNumberFormat="1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 wrapText="1"/>
    </xf>
    <xf numFmtId="0" fontId="4" fillId="0" borderId="27" xfId="0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30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2" fontId="8" fillId="0" borderId="16" xfId="0" applyNumberFormat="1" applyFont="1" applyFill="1" applyBorder="1" applyAlignment="1">
      <alignment horizontal="center" vertical="center" wrapText="1"/>
    </xf>
    <xf numFmtId="2" fontId="8" fillId="0" borderId="16" xfId="0" applyNumberFormat="1" applyFont="1" applyFill="1" applyBorder="1" applyAlignment="1">
      <alignment horizontal="center" vertical="center"/>
    </xf>
    <xf numFmtId="0" fontId="6" fillId="0" borderId="11" xfId="1" applyNumberFormat="1" applyFont="1" applyFill="1" applyBorder="1" applyAlignment="1">
      <alignment horizontal="center" vertical="center"/>
    </xf>
    <xf numFmtId="49" fontId="4" fillId="0" borderId="24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6" fillId="0" borderId="36" xfId="1" applyNumberFormat="1" applyFont="1" applyFill="1" applyBorder="1" applyAlignment="1">
      <alignment horizontal="center" vertical="center"/>
    </xf>
    <xf numFmtId="49" fontId="4" fillId="0" borderId="27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/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11" fillId="3" borderId="4" xfId="1" applyFont="1" applyFill="1" applyBorder="1" applyAlignment="1">
      <alignment horizontal="center" vertical="center" wrapText="1"/>
    </xf>
    <xf numFmtId="0" fontId="11" fillId="0" borderId="32" xfId="1" applyNumberFormat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11" fillId="3" borderId="17" xfId="1" applyFont="1" applyFill="1" applyBorder="1" applyAlignment="1">
      <alignment horizontal="center" wrapText="1"/>
    </xf>
    <xf numFmtId="0" fontId="11" fillId="3" borderId="0" xfId="1" applyFont="1" applyFill="1" applyBorder="1" applyAlignment="1">
      <alignment horizontal="center" wrapText="1"/>
    </xf>
    <xf numFmtId="0" fontId="11" fillId="3" borderId="18" xfId="1" applyFont="1" applyFill="1" applyBorder="1" applyAlignment="1">
      <alignment horizontal="center" wrapText="1"/>
    </xf>
    <xf numFmtId="0" fontId="2" fillId="3" borderId="17" xfId="0" applyFont="1" applyFill="1" applyBorder="1" applyAlignment="1">
      <alignment wrapText="1"/>
    </xf>
    <xf numFmtId="0" fontId="2" fillId="3" borderId="0" xfId="0" applyFont="1" applyFill="1" applyBorder="1" applyAlignment="1">
      <alignment wrapText="1"/>
    </xf>
    <xf numFmtId="0" fontId="2" fillId="3" borderId="18" xfId="0" applyFont="1" applyFill="1" applyBorder="1" applyAlignment="1">
      <alignment wrapText="1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2667000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Изменение номера контракта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20"/>
  <sheetViews>
    <sheetView tabSelected="1" zoomScale="85" zoomScaleNormal="85" workbookViewId="0">
      <selection activeCell="M6" sqref="M6"/>
    </sheetView>
  </sheetViews>
  <sheetFormatPr defaultRowHeight="15.75" x14ac:dyDescent="0.25"/>
  <cols>
    <col min="1" max="1" width="40.42578125" style="1" customWidth="1"/>
    <col min="2" max="2" width="9.140625" style="1" customWidth="1"/>
    <col min="3" max="3" width="24.140625" style="1" customWidth="1"/>
    <col min="4" max="4" width="9.140625" style="1"/>
    <col min="5" max="5" width="27.28515625" style="1" customWidth="1"/>
    <col min="6" max="6" width="9.140625" style="1" customWidth="1"/>
    <col min="7" max="7" width="27.28515625" style="1" customWidth="1"/>
    <col min="8" max="10" width="9.140625" style="1" customWidth="1"/>
    <col min="11" max="11" width="19.7109375" style="1" customWidth="1"/>
    <col min="12" max="16384" width="9.140625" style="1"/>
  </cols>
  <sheetData>
    <row r="1" spans="1:12" ht="33" customHeight="1" thickBot="1" x14ac:dyDescent="0.3">
      <c r="B1" s="36" t="s">
        <v>1</v>
      </c>
      <c r="C1" s="37"/>
      <c r="D1" s="37"/>
      <c r="E1" s="37"/>
      <c r="F1" s="37"/>
      <c r="G1" s="38"/>
      <c r="H1" s="33" t="s">
        <v>2</v>
      </c>
      <c r="I1" s="34"/>
      <c r="J1" s="34"/>
      <c r="K1" s="35"/>
    </row>
    <row r="2" spans="1:12" ht="45.75" customHeight="1" x14ac:dyDescent="0.25">
      <c r="A2" s="2" t="s">
        <v>0</v>
      </c>
      <c r="B2" s="45" t="str">
        <f>HYPERLINK("https://zakupki.gov.ru/epz/order/notice/ea44/view/documents.html?regNumber=0372200277323000856","0372200277323000856")</f>
        <v>0372200277323000856</v>
      </c>
      <c r="C2" s="30"/>
      <c r="D2" s="30"/>
      <c r="E2" s="30"/>
      <c r="F2" s="30"/>
      <c r="G2" s="39"/>
      <c r="H2" s="44" t="str">
        <f>HYPERLINK("https://zakupki.gov.ru/44fz/filestore/public/1.0/download/priz/file.html?uid=0888BC5F869780CCE06334548D0A7EAA","2_НМЦК_ЭтанолЫ_СлЦ_60_318,50_ж_опт_РНК.docx")</f>
        <v>2_НМЦК_ЭтанолЫ_СлЦ_60_318,50_ж_опт_РНК.docx</v>
      </c>
      <c r="I2" s="42"/>
      <c r="J2" s="42"/>
      <c r="K2" s="43"/>
      <c r="L2" s="41"/>
    </row>
    <row r="3" spans="1:12" ht="60.75" customHeight="1" x14ac:dyDescent="0.25">
      <c r="A3" s="3" t="s">
        <v>3</v>
      </c>
      <c r="B3" s="31" t="s">
        <v>9</v>
      </c>
      <c r="C3" s="32"/>
      <c r="D3" s="32"/>
      <c r="E3" s="32"/>
      <c r="F3" s="32"/>
      <c r="G3" s="40"/>
      <c r="H3" s="46" t="str">
        <f>HYPERLINK("https://zakupki.gov.ru/44fz/filestore/public/1.0/download/priz/file.html?uid=0888BC5F869A80CCE06334548D0A7EAA","4_ПК_ЭтанолЫ_23-24г_СлЦ_60_318,50_ж.docx")</f>
        <v>4_ПК_ЭтанолЫ_23-24г_СлЦ_60_318,50_ж.docx</v>
      </c>
      <c r="I3" s="47"/>
      <c r="J3" s="47"/>
      <c r="K3" s="48"/>
      <c r="L3" s="41"/>
    </row>
    <row r="4" spans="1:12" ht="32.25" customHeight="1" thickBot="1" x14ac:dyDescent="0.3">
      <c r="A4" s="4" t="s">
        <v>4</v>
      </c>
      <c r="B4" s="28" t="s">
        <v>10</v>
      </c>
      <c r="C4" s="29"/>
      <c r="D4" s="29"/>
      <c r="E4" s="29"/>
      <c r="F4" s="29"/>
      <c r="G4" s="29"/>
      <c r="H4" s="46" t="str">
        <f>HYPERLINK("https://zakupki.gov.ru/44fz/filestore/public/1.0/download/priz/file.html?uid=0888BC5F869680CCE06334548D0A7EAA","1_ООЗ_ЭтанолЫ_23-24г_доп.docx")</f>
        <v>1_ООЗ_ЭтанолЫ_23-24г_доп.docx</v>
      </c>
      <c r="I4" s="47"/>
      <c r="J4" s="47"/>
      <c r="K4" s="48"/>
      <c r="L4" s="41"/>
    </row>
    <row r="5" spans="1:12" ht="41.25" customHeight="1" thickBot="1" x14ac:dyDescent="0.3">
      <c r="A5" s="5" t="s">
        <v>5</v>
      </c>
      <c r="B5" s="6" t="s">
        <v>11</v>
      </c>
      <c r="C5" s="6"/>
      <c r="D5" s="6"/>
      <c r="E5" s="6"/>
      <c r="F5" s="6"/>
      <c r="G5" s="6"/>
      <c r="H5" s="46" t="str">
        <f>HYPERLINK("https://zakupki.gov.ru/44fz/filestore/public/1.0/download/priz/file.html?uid=0888BC5F869880CCE06334548D0A7EAA","3_Тр._1289_ЭтанолЫ_23-24г_нов_доп.docx")</f>
        <v>3_Тр._1289_ЭтанолЫ_23-24г_нов_доп.docx</v>
      </c>
      <c r="I5" s="47"/>
      <c r="J5" s="47"/>
      <c r="K5" s="48"/>
      <c r="L5" s="41"/>
    </row>
    <row r="6" spans="1:12" ht="74.25" customHeight="1" thickBot="1" x14ac:dyDescent="0.3">
      <c r="B6" s="23" t="s">
        <v>6</v>
      </c>
      <c r="C6" s="24"/>
      <c r="D6" s="25" t="s">
        <v>7</v>
      </c>
      <c r="E6" s="26"/>
      <c r="F6" s="23" t="s">
        <v>8</v>
      </c>
      <c r="G6" s="26"/>
      <c r="H6" s="46" t="str">
        <f>HYPERLINK("https://zakupki.gov.ru/44fz/filestore/public/1.0/download/priz/file.html?uid=0888BC5F869C80CCE06334548D0A7EAA","_ИЗВ_ЭтанолЫ_23-24г_СлЦ_60_318,50_ж_безОЗ.docx")</f>
        <v>_ИЗВ_ЭтанолЫ_23-24г_СлЦ_60_318,50_ж_безОЗ.docx</v>
      </c>
      <c r="I6" s="47"/>
      <c r="J6" s="47"/>
      <c r="K6" s="48"/>
    </row>
    <row r="7" spans="1:12" ht="40.5" customHeight="1" x14ac:dyDescent="0.25">
      <c r="B7" s="27"/>
      <c r="C7" s="10"/>
      <c r="D7" s="17"/>
      <c r="E7" s="18"/>
      <c r="F7" s="9"/>
      <c r="G7" s="18"/>
      <c r="H7" s="46" t="str">
        <f>HYPERLINK("https://zakupki.gov.ru/44fz/filestore/public/1.0/download/priz/file.html?uid=0888BC5F869E80CCE06334548D0A7EAA","Автоматический контроль.pdf")</f>
        <v>Автоматический контроль.pdf</v>
      </c>
      <c r="I7" s="47"/>
      <c r="J7" s="47"/>
      <c r="K7" s="48"/>
    </row>
    <row r="8" spans="1:12" ht="30" customHeight="1" x14ac:dyDescent="0.3">
      <c r="B8" s="11"/>
      <c r="C8" s="12"/>
      <c r="D8" s="19"/>
      <c r="E8" s="20"/>
      <c r="F8" s="11"/>
      <c r="G8" s="20"/>
      <c r="H8" s="49" t="str">
        <f>HYPERLINK("https://zakupki.gov.ru/44fz/filestore/public/1.0/download/priz/file.html?uid=0896C60DA2E62711E06334548D0AD49B","2.1.Обоснование НМЦК.doc")</f>
        <v>2.1.Обоснование НМЦК.doc</v>
      </c>
      <c r="I8" s="50"/>
      <c r="J8" s="50"/>
      <c r="K8" s="51"/>
    </row>
    <row r="9" spans="1:12" ht="30" customHeight="1" x14ac:dyDescent="0.25">
      <c r="B9" s="13"/>
      <c r="C9" s="14"/>
      <c r="D9" s="21"/>
      <c r="E9" s="22"/>
      <c r="F9" s="13"/>
      <c r="G9" s="22"/>
      <c r="H9" s="52"/>
      <c r="I9" s="53"/>
      <c r="J9" s="53"/>
      <c r="K9" s="54"/>
    </row>
    <row r="10" spans="1:12" ht="30" customHeight="1" thickBot="1" x14ac:dyDescent="0.3">
      <c r="B10" s="13"/>
      <c r="C10" s="14"/>
      <c r="D10" s="21"/>
      <c r="E10" s="22"/>
      <c r="F10" s="13"/>
      <c r="G10" s="22"/>
      <c r="H10" s="55"/>
      <c r="I10" s="56"/>
      <c r="J10" s="56"/>
      <c r="K10" s="57"/>
    </row>
    <row r="11" spans="1:12" ht="30" customHeight="1" x14ac:dyDescent="0.25">
      <c r="B11" s="13"/>
      <c r="C11" s="14"/>
      <c r="D11" s="21"/>
      <c r="E11" s="22"/>
      <c r="F11" s="13"/>
      <c r="G11" s="14"/>
    </row>
    <row r="12" spans="1:12" ht="30" customHeight="1" x14ac:dyDescent="0.25">
      <c r="B12" s="13"/>
      <c r="C12" s="14"/>
      <c r="D12" s="21"/>
      <c r="E12" s="22"/>
      <c r="F12" s="13"/>
      <c r="G12" s="14"/>
    </row>
    <row r="13" spans="1:12" ht="30" customHeight="1" x14ac:dyDescent="0.25">
      <c r="B13" s="13"/>
      <c r="C13" s="14"/>
      <c r="D13" s="21"/>
      <c r="E13" s="22"/>
      <c r="F13" s="13"/>
      <c r="G13" s="14"/>
    </row>
    <row r="14" spans="1:12" ht="30" customHeight="1" x14ac:dyDescent="0.25">
      <c r="B14" s="13"/>
      <c r="C14" s="14"/>
      <c r="D14" s="21"/>
      <c r="E14" s="22"/>
      <c r="F14" s="13"/>
      <c r="G14" s="14"/>
    </row>
    <row r="15" spans="1:12" ht="30" customHeight="1" x14ac:dyDescent="0.25">
      <c r="B15" s="13"/>
      <c r="C15" s="14"/>
      <c r="D15" s="21"/>
      <c r="E15" s="22"/>
      <c r="F15" s="13"/>
      <c r="G15" s="14"/>
    </row>
    <row r="16" spans="1:12" ht="30" customHeight="1" x14ac:dyDescent="0.25">
      <c r="B16" s="13"/>
      <c r="C16" s="14"/>
      <c r="D16" s="21"/>
      <c r="E16" s="22"/>
      <c r="F16" s="13"/>
      <c r="G16" s="14"/>
    </row>
    <row r="17" spans="2:7" ht="30" customHeight="1" x14ac:dyDescent="0.25">
      <c r="B17" s="13"/>
      <c r="C17" s="14"/>
      <c r="D17" s="21"/>
      <c r="E17" s="22"/>
      <c r="F17" s="13"/>
      <c r="G17" s="14"/>
    </row>
    <row r="18" spans="2:7" ht="30" customHeight="1" x14ac:dyDescent="0.25">
      <c r="B18" s="13"/>
      <c r="C18" s="14"/>
      <c r="D18" s="21"/>
      <c r="E18" s="22"/>
      <c r="F18" s="13"/>
      <c r="G18" s="14"/>
    </row>
    <row r="19" spans="2:7" ht="30" customHeight="1" x14ac:dyDescent="0.25">
      <c r="B19" s="13"/>
      <c r="C19" s="14"/>
      <c r="D19" s="21"/>
      <c r="E19" s="22"/>
      <c r="F19" s="13"/>
      <c r="G19" s="14"/>
    </row>
    <row r="20" spans="2:7" ht="30" customHeight="1" thickBot="1" x14ac:dyDescent="0.3">
      <c r="B20" s="15"/>
      <c r="C20" s="16"/>
      <c r="D20" s="7"/>
      <c r="E20" s="8"/>
      <c r="F20" s="15"/>
      <c r="G20" s="16"/>
    </row>
  </sheetData>
  <mergeCells count="58">
    <mergeCell ref="H8:K8"/>
    <mergeCell ref="B2:G2"/>
    <mergeCell ref="B3:G3"/>
    <mergeCell ref="H1:K1"/>
    <mergeCell ref="H7:K7"/>
    <mergeCell ref="H6:K6"/>
    <mergeCell ref="H5:K5"/>
    <mergeCell ref="H4:K4"/>
    <mergeCell ref="H3:K3"/>
    <mergeCell ref="H2:K2"/>
    <mergeCell ref="B1:G1"/>
    <mergeCell ref="B6:C6"/>
    <mergeCell ref="D6:E6"/>
    <mergeCell ref="F6:G6"/>
    <mergeCell ref="B7:C7"/>
    <mergeCell ref="B4:G4"/>
    <mergeCell ref="B8:C8"/>
    <mergeCell ref="B9:C9"/>
    <mergeCell ref="B10:C10"/>
    <mergeCell ref="B11:C11"/>
    <mergeCell ref="B12:C12"/>
    <mergeCell ref="D19:E19"/>
    <mergeCell ref="B13:C13"/>
    <mergeCell ref="B14:C14"/>
    <mergeCell ref="B15:C15"/>
    <mergeCell ref="B16:C16"/>
    <mergeCell ref="B17:C17"/>
    <mergeCell ref="F20:G20"/>
    <mergeCell ref="B18:C18"/>
    <mergeCell ref="B19:C19"/>
    <mergeCell ref="B20:C20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B5:G5"/>
    <mergeCell ref="D20:E20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rmation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2667000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77156D-B58B-4910-89F5-057D33BE4F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New</cp:lastModifiedBy>
  <dcterms:created xsi:type="dcterms:W3CDTF">2015-06-05T18:19:34Z</dcterms:created>
  <dcterms:modified xsi:type="dcterms:W3CDTF">2023-11-05T14:49:04Z</dcterms:modified>
</cp:coreProperties>
</file>